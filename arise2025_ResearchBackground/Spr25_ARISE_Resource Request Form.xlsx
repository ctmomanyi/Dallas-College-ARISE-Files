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/Users/yukaz./Downloads/"/>
    </mc:Choice>
  </mc:AlternateContent>
  <xr:revisionPtr revIDLastSave="422" documentId="8_{132F413A-0890-6E40-A3F9-8CCC59BD3DF0}" xr6:coauthVersionLast="47" xr6:coauthVersionMax="47" xr10:uidLastSave="{A201ABA2-BFC6-41B0-88D6-B90066E3AD64}"/>
  <bookViews>
    <workbookView xWindow="16840" yWindow="760" windowWidth="13400" windowHeight="17720" xr2:uid="{00000000-000D-0000-FFFF-FFFF00000000}"/>
  </bookViews>
  <sheets>
    <sheet name="Sheet 1" sheetId="1" r:id="rId1"/>
  </sheets>
  <definedNames>
    <definedName name="_xlnm._FilterDatabase" localSheetId="0" hidden="1">'Sheet 1'!$A$1:$H$1</definedName>
    <definedName name="_xlnm.Print_Area" localSheetId="0">'Sheet 1'!$A$1:$L$26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8" i="1"/>
  <c r="E5" i="1"/>
  <c r="E6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  <c r="E25" i="1"/>
  <c r="D25" i="1" l="1"/>
  <c r="C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Davis, Autumn</author>
  </authors>
  <commentList>
    <comment ref="E1" authorId="0" shapeId="0" xr:uid="{0C7FC90D-2FB7-483C-B5EC-0932DE6445E1}">
      <text>
        <r>
          <rPr>
            <b/>
            <sz val="14"/>
            <color rgb="FF000000"/>
            <rFont val="Tahoma"/>
            <family val="2"/>
          </rPr>
          <t>This will automatically calculate the total cost.</t>
        </r>
      </text>
    </comment>
  </commentList>
</comments>
</file>

<file path=xl/sharedStrings.xml><?xml version="1.0" encoding="utf-8"?>
<sst xmlns="http://schemas.openxmlformats.org/spreadsheetml/2006/main" count="81" uniqueCount="51">
  <si>
    <t xml:space="preserve">Vendor                                                                 </t>
  </si>
  <si>
    <t>Item</t>
  </si>
  <si>
    <t>QTY</t>
  </si>
  <si>
    <t>Cost Per Order</t>
  </si>
  <si>
    <t>Total Cost</t>
  </si>
  <si>
    <t>Note</t>
  </si>
  <si>
    <t>Link (hyperlink it with the product name, command + k for shortcut)</t>
  </si>
  <si>
    <t>Program (BURST or ARISE)</t>
  </si>
  <si>
    <t>Adafruit</t>
  </si>
  <si>
    <t>Diffused Green 5 mm LEDs (25-pack, PID 298)</t>
  </si>
  <si>
    <t>Safe water indicator</t>
  </si>
  <si>
    <t>Green LEDs</t>
  </si>
  <si>
    <t>ARISE</t>
  </si>
  <si>
    <t>Diffused Red 5 mm LEDs (25-pack, PID 299)</t>
  </si>
  <si>
    <t>Unsafe water indicator</t>
  </si>
  <si>
    <t>Red LEDs</t>
  </si>
  <si>
    <t>16 mm Rugged Metal Pushbutton (White LED ring, momentary, PID 558)</t>
  </si>
  <si>
    <t>Start button for test</t>
  </si>
  <si>
    <t>16mm Pushbutton</t>
  </si>
  <si>
    <t>Anker PowerCore Slim 10K (A1229) – USB-A output power bank</t>
  </si>
  <si>
    <t>Portable 5 V power; powers Arduino via USB</t>
  </si>
  <si>
    <t>USB-A ↔ USB-C Cable (1 ft - 0.3 meters)</t>
  </si>
  <si>
    <t>Connects Arduino to computer/power</t>
  </si>
  <si>
    <t>USB-C Cable</t>
  </si>
  <si>
    <t>Amazon</t>
  </si>
  <si>
    <t>Arduino UNO R4 Minima (ABX00080)</t>
  </si>
  <si>
    <t>Main microcontroller</t>
  </si>
  <si>
    <t>Arduino UNO R4 Minima</t>
  </si>
  <si>
    <t>Resistor Assortment (has 330 Ω &amp; 4.7 kΩ)</t>
  </si>
  <si>
    <t>Contains 330Ω &amp; 4.7kΩ values</t>
  </si>
  <si>
    <t>Resistor Kit</t>
  </si>
  <si>
    <t>PETG Filament, Black, 1.75 mm, 1 kg (Overture or similar)</t>
  </si>
  <si>
    <t>3D print the enclosure</t>
  </si>
  <si>
    <t>PETG Filament</t>
  </si>
  <si>
    <t>Comfy Package Clear Plastic Cups [3 oz - 100 Count]</t>
  </si>
  <si>
    <t>Removable cup for the wet well</t>
  </si>
  <si>
    <t>AS7341 10-Channel Spectral/Color Sensor (PID 4698)</t>
  </si>
  <si>
    <t>Color “eye” to read DPD pink for chlorine verification</t>
  </si>
  <si>
    <t>Hach Free &amp; Total Chlorine Test Strips (2745050, 0–10 mg/L)</t>
  </si>
  <si>
    <t>Quick field residual check. Use alone or to cross-check cuvette method.</t>
  </si>
  <si>
    <t>Food-Grade Silicone Tubing, 1/4″ ID × 3/8″ OD (e.g., JoyTube, 16 ft)</t>
  </si>
  <si>
    <t>Sampling-wand dip tube for jerrycans.</t>
  </si>
  <si>
    <t>1/4″ Inline One-Way Check Valve (Quickun/PVDF)</t>
  </si>
  <si>
    <t>Prevents backflow from wand sample.</t>
  </si>
  <si>
    <t>Atlas Scientific EZO-pH Embedded pH Circuit</t>
  </si>
  <si>
    <t>High-accuracy pH interface (I²C/UART). Part of Atlas EZO pH kit replacement.</t>
  </si>
  <si>
    <t>Atlas Scientific Lab-Grade pH Probe (0–14 pH)</t>
  </si>
  <si>
    <t>Double-junction lab probe to pair with EZO-pH circuit.</t>
  </si>
  <si>
    <t>Atlas Scientific Electrically Isolated EZO™ Carrier Board Gen 2</t>
  </si>
  <si>
    <t>Carrier with isolation; neat wiring to EZO-pH and probe connector.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</si>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</sst>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4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44" fontId="7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" fillId="0" borderId="1" xfId="2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44" fontId="7" fillId="0" borderId="1" xfId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44" fontId="7" fillId="0" borderId="0" xfId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2" borderId="0" xfId="0" applyFont="1" applyFill="1" applyAlignment="1">
      <alignment vertical="center"/>
    </xf>
    <xf numFmtId="44" fontId="7" fillId="3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2" fillId="0" borderId="1" xfId="2" applyBorder="1" applyAlignment="1">
      <alignment vertical="center"/>
    </xf>
    <xf numFmtId="44" fontId="7" fillId="0" borderId="1" xfId="1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99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rduino-UNO-Minima-ABX00080-Connector/dp/B0C78K4CD4" TargetMode="External"/><Relationship Id="rId13" Type="http://schemas.openxmlformats.org/officeDocument/2006/relationships/hyperlink" Target="https://www.amazon.com/JoyTube-Silicone-Tubing-Brewing-Kegerator/dp/B0BGXTYBCB?utm_source=chatgpt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adafruit.com/product/558" TargetMode="External"/><Relationship Id="rId7" Type="http://schemas.openxmlformats.org/officeDocument/2006/relationships/hyperlink" Target="https://www.amazon.com/OVERTURE-Filament-Consumables-Dimensional-Accuracy/dp/B07PGYHYV8" TargetMode="External"/><Relationship Id="rId12" Type="http://schemas.openxmlformats.org/officeDocument/2006/relationships/hyperlink" Target="https://www.amazon.com/Hach-2745050-Total-Chlorine-Strips/dp/B00R3EQ84S" TargetMode="External"/><Relationship Id="rId17" Type="http://schemas.openxmlformats.org/officeDocument/2006/relationships/hyperlink" Target="https://www.amazon.com/Atlas-Scientific-Electrically-Isolated-Carrier/dp/B084T5ZZGQ/ref=pd_bxgy_thbs_d_sccl_1/135-1594260-9835509?pd_rd_w=pcy9o&amp;content-id=amzn1.sym.de9a1315-b9df-4c24-863c-7afcb2e4cc0a&amp;pf_rd_p=de9a1315-b9df-4c24-863c-7afcb2e4cc0a&amp;pf_rd_r=C2863VSTHY3GG7NZQ8CX&amp;pd_rd_wg=6AxPj&amp;pd_rd_r=c3386a5f-61c9-4928-8dc4-b2f9ed75b2a3&amp;pd_rd_i=B084T5ZZGQ&amp;psc=1" TargetMode="External"/><Relationship Id="rId2" Type="http://schemas.openxmlformats.org/officeDocument/2006/relationships/hyperlink" Target="https://www.adafruit.com/product/299" TargetMode="External"/><Relationship Id="rId16" Type="http://schemas.openxmlformats.org/officeDocument/2006/relationships/hyperlink" Target="https://www.amazon.com/Atlas-Scientific-pH-Probe-14/dp/B00YD81JS2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www.adafruit.com/product/298" TargetMode="External"/><Relationship Id="rId6" Type="http://schemas.openxmlformats.org/officeDocument/2006/relationships/hyperlink" Target="https://www.adafruit.com/product/4473" TargetMode="External"/><Relationship Id="rId11" Type="http://schemas.openxmlformats.org/officeDocument/2006/relationships/hyperlink" Target="https://www.adafruit.com/product/4698" TargetMode="External"/><Relationship Id="rId5" Type="http://schemas.openxmlformats.org/officeDocument/2006/relationships/hyperlink" Target="https://www.amazon.com/Anker-Travel-Ready-Technology-High-Speed-Output%EF%BC%88Black%EF%BC%89%EF%BC%8C1pack/dp/B0D5CLSMFB" TargetMode="External"/><Relationship Id="rId15" Type="http://schemas.openxmlformats.org/officeDocument/2006/relationships/hyperlink" Target="https://www.amazon.com/Atlas-Scientific-Embedded-Circuit-001-14/dp/B00641R1PQ" TargetMode="External"/><Relationship Id="rId10" Type="http://schemas.openxmlformats.org/officeDocument/2006/relationships/hyperlink" Target="https://www.amazon.com/100-Pack-Disposable-Plastic-Drinking/dp/B09J618N35/ref=sr_1_1_sspa?crid=RGGWGXF8PFXY&amp;dib=eyJ2IjoiMSJ9.i2JuhF1auQdrXRN7rawX61gbRh_bzNbJH1qHgCT2zJA06-MG806ElyWT4XoxYh3oYBdgBovm-KgzbRuKdzCHJgHL_9l11HtFRs9kxs6FknDJAODijQ8vW4MQE549xEqp3xhwPceRCx9FA4JZQCNpvKQFFVARLXM3qvtlQpFjW1KNlOzzsAV6ROmPvXWt4vpO84cgxi4DVuTvIrMQJuHqg5mDF9IPLc90KKoWE8wYUvigE8oouURq9Jrp6Ra_dKLRkSDiFvojx3mqUjNFSltl-eU9mWvqy3xQ7HwGWAx_PxQ.yw66u60QJ90sQTu7JvX649LUKeQWhTDYSJyYQo_u4d8&amp;dib_tag=se&amp;keywords=Clear%2BPlastic%2BCup%2B(50mm%2Bdiameter%2C%2B~60mL)&amp;qid=1760123600&amp;s=industrial&amp;sprefix=clear%2Bplastic%2Bcup%2B50mm%2Bdiameter%2C%2B60ml%2B%2Cindustrial%2C81&amp;sr=1-1-spons&amp;sp_csd=d2lkZ2V0TmFtZT1zcF9hdGY&amp;th=1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www.amazon.com/Resistor-Assorted-Resistors-Assortment-Experiments/dp/B07L851T3V" TargetMode="External"/><Relationship Id="rId9" Type="http://schemas.openxmlformats.org/officeDocument/2006/relationships/hyperlink" Target="https://www.amazon.com/Gravity-Waterproof-Anti-Polarization-0-1000ppm-Hydroponics/dp/B086GX2539" TargetMode="External"/><Relationship Id="rId14" Type="http://schemas.openxmlformats.org/officeDocument/2006/relationships/hyperlink" Target="https://www.amazon.com/Quickun-Inline-Resistance-Plastic-One-Way/dp/B087PFHNTZ?utm_source=chatgpt.com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topLeftCell="F17" zoomScaleNormal="100" zoomScaleSheetLayoutView="50" workbookViewId="0">
      <selection activeCell="G10" sqref="G10"/>
    </sheetView>
  </sheetViews>
  <sheetFormatPr defaultColWidth="9.140625" defaultRowHeight="15.95"/>
  <cols>
    <col min="1" max="1" width="36.5703125" style="7" bestFit="1" customWidth="1"/>
    <col min="2" max="2" width="91.42578125" style="7" customWidth="1"/>
    <col min="3" max="3" width="23.42578125" style="7" customWidth="1"/>
    <col min="4" max="4" width="21" style="7" customWidth="1"/>
    <col min="5" max="5" width="15.42578125" style="7" bestFit="1" customWidth="1"/>
    <col min="6" max="6" width="47.7109375" style="7" customWidth="1"/>
    <col min="7" max="7" width="292.140625" style="7" bestFit="1" customWidth="1"/>
    <col min="8" max="8" width="31.7109375" style="7" bestFit="1" customWidth="1"/>
    <col min="9" max="9" width="10.28515625" style="7" hidden="1" customWidth="1"/>
    <col min="10" max="10" width="10.7109375" style="7" hidden="1" customWidth="1"/>
    <col min="11" max="11" width="8.85546875" style="7" hidden="1" customWidth="1"/>
    <col min="12" max="12" width="43.42578125" style="7" hidden="1" customWidth="1"/>
    <col min="13" max="13" width="42.42578125" style="7" customWidth="1"/>
    <col min="14" max="16384" width="9.140625" style="7"/>
  </cols>
  <sheetData>
    <row r="1" spans="1:12" s="13" customFormat="1" ht="30" customHeight="1">
      <c r="A1" s="2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2" t="s">
        <v>6</v>
      </c>
      <c r="H1" s="4" t="s">
        <v>7</v>
      </c>
    </row>
    <row r="2" spans="1:12" ht="30" customHeight="1">
      <c r="A2" s="23" t="s">
        <v>8</v>
      </c>
      <c r="B2" s="17" t="s">
        <v>9</v>
      </c>
      <c r="C2" s="1">
        <v>1</v>
      </c>
      <c r="D2" s="14">
        <v>4</v>
      </c>
      <c r="E2" s="2">
        <f>C2*D2</f>
        <v>4</v>
      </c>
      <c r="F2" s="3" t="s">
        <v>10</v>
      </c>
      <c r="G2" s="11" t="s">
        <v>11</v>
      </c>
      <c r="H2" s="3" t="s">
        <v>12</v>
      </c>
    </row>
    <row r="3" spans="1:12" ht="30" customHeight="1">
      <c r="A3" s="23" t="s">
        <v>8</v>
      </c>
      <c r="B3" s="17" t="s">
        <v>13</v>
      </c>
      <c r="C3" s="1">
        <v>1</v>
      </c>
      <c r="D3" s="14">
        <v>4</v>
      </c>
      <c r="E3" s="2">
        <f>C3*D3</f>
        <v>4</v>
      </c>
      <c r="F3" s="3" t="s">
        <v>14</v>
      </c>
      <c r="G3" s="11" t="s">
        <v>15</v>
      </c>
      <c r="H3" s="3" t="s">
        <v>12</v>
      </c>
    </row>
    <row r="4" spans="1:12" ht="30" customHeight="1">
      <c r="A4" s="23" t="s">
        <v>8</v>
      </c>
      <c r="B4" s="17" t="s">
        <v>16</v>
      </c>
      <c r="C4" s="1">
        <v>1</v>
      </c>
      <c r="D4" s="14">
        <v>4.95</v>
      </c>
      <c r="E4" s="2">
        <f>C4*D4</f>
        <v>4.95</v>
      </c>
      <c r="F4" s="3" t="s">
        <v>17</v>
      </c>
      <c r="G4" s="11" t="s">
        <v>18</v>
      </c>
      <c r="H4" s="3" t="s">
        <v>12</v>
      </c>
    </row>
    <row r="5" spans="1:12" ht="30" customHeight="1">
      <c r="A5" s="1" t="s">
        <v>8</v>
      </c>
      <c r="B5" s="15" t="s">
        <v>19</v>
      </c>
      <c r="C5" s="1">
        <v>1</v>
      </c>
      <c r="D5" s="14">
        <v>25.99</v>
      </c>
      <c r="E5" s="2">
        <f>C5*D5</f>
        <v>25.99</v>
      </c>
      <c r="F5" s="3" t="s">
        <v>20</v>
      </c>
      <c r="G5" s="11" t="s">
        <v>19</v>
      </c>
      <c r="H5" s="3" t="s">
        <v>12</v>
      </c>
    </row>
    <row r="6" spans="1:12" ht="30" customHeight="1">
      <c r="A6" s="1" t="s">
        <v>8</v>
      </c>
      <c r="B6" s="16" t="s">
        <v>21</v>
      </c>
      <c r="C6" s="1">
        <v>1</v>
      </c>
      <c r="D6" s="14">
        <v>3.95</v>
      </c>
      <c r="E6" s="2">
        <f>C6*D6</f>
        <v>3.95</v>
      </c>
      <c r="F6" s="3" t="s">
        <v>22</v>
      </c>
      <c r="G6" s="11" t="s">
        <v>23</v>
      </c>
      <c r="H6" s="3" t="s">
        <v>12</v>
      </c>
    </row>
    <row r="7" spans="1:12" ht="30" customHeight="1">
      <c r="A7" s="1" t="s">
        <v>24</v>
      </c>
      <c r="B7" s="25" t="s">
        <v>25</v>
      </c>
      <c r="C7" s="1">
        <v>1</v>
      </c>
      <c r="D7" s="14">
        <v>19.989999999999998</v>
      </c>
      <c r="E7" s="2">
        <v>19.989999999999998</v>
      </c>
      <c r="F7" s="3" t="s">
        <v>26</v>
      </c>
      <c r="G7" s="26" t="s">
        <v>27</v>
      </c>
      <c r="H7" s="3" t="s">
        <v>12</v>
      </c>
    </row>
    <row r="8" spans="1:12" ht="30" customHeight="1">
      <c r="A8" s="23" t="s">
        <v>24</v>
      </c>
      <c r="B8" s="17" t="s">
        <v>28</v>
      </c>
      <c r="C8" s="1">
        <v>1</v>
      </c>
      <c r="D8" s="14">
        <v>9.99</v>
      </c>
      <c r="E8" s="2">
        <f>C8*D8</f>
        <v>9.99</v>
      </c>
      <c r="F8" s="3" t="s">
        <v>29</v>
      </c>
      <c r="G8" s="11" t="s">
        <v>30</v>
      </c>
      <c r="H8" s="3" t="s">
        <v>12</v>
      </c>
    </row>
    <row r="9" spans="1:12" ht="30" customHeight="1">
      <c r="A9" s="1" t="s">
        <v>24</v>
      </c>
      <c r="B9" s="8" t="s">
        <v>31</v>
      </c>
      <c r="C9" s="1">
        <v>1</v>
      </c>
      <c r="D9" s="14">
        <v>23.99</v>
      </c>
      <c r="E9" s="2">
        <f>C9*D9</f>
        <v>23.99</v>
      </c>
      <c r="F9" s="3" t="s">
        <v>32</v>
      </c>
      <c r="G9" s="11" t="s">
        <v>33</v>
      </c>
      <c r="H9" s="3" t="s">
        <v>12</v>
      </c>
    </row>
    <row r="10" spans="1:12" ht="30" customHeight="1">
      <c r="A10" s="1" t="s">
        <v>24</v>
      </c>
      <c r="B10" s="9" t="s">
        <v>34</v>
      </c>
      <c r="C10" s="1">
        <v>1</v>
      </c>
      <c r="D10" s="14">
        <v>8.98</v>
      </c>
      <c r="E10" s="2">
        <f>C10*D10</f>
        <v>8.98</v>
      </c>
      <c r="F10" s="3" t="s">
        <v>35</v>
      </c>
      <c r="G10" s="11" t="s">
        <v>34</v>
      </c>
      <c r="H10" s="3"/>
      <c r="I10" s="10"/>
      <c r="J10" s="10"/>
      <c r="K10" s="10"/>
      <c r="L10" s="10"/>
    </row>
    <row r="11" spans="1:12" ht="30" customHeight="1">
      <c r="A11" s="1" t="s">
        <v>8</v>
      </c>
      <c r="B11" s="9" t="s">
        <v>36</v>
      </c>
      <c r="C11" s="1">
        <v>1</v>
      </c>
      <c r="D11" s="14">
        <v>18.95</v>
      </c>
      <c r="E11" s="2">
        <f>C11*D11</f>
        <v>18.95</v>
      </c>
      <c r="F11" s="27" t="s">
        <v>37</v>
      </c>
      <c r="G11" s="11" t="s">
        <v>36</v>
      </c>
      <c r="H11" s="3"/>
      <c r="I11" s="10"/>
      <c r="J11" s="10"/>
      <c r="K11" s="10"/>
      <c r="L11" s="10"/>
    </row>
    <row r="12" spans="1:12" ht="30" customHeight="1">
      <c r="A12" s="1" t="s">
        <v>24</v>
      </c>
      <c r="B12" s="9" t="s">
        <v>38</v>
      </c>
      <c r="C12" s="1">
        <v>1</v>
      </c>
      <c r="D12" s="14">
        <v>31.93</v>
      </c>
      <c r="E12" s="2">
        <f>C12*D12</f>
        <v>31.93</v>
      </c>
      <c r="F12" s="27" t="s">
        <v>39</v>
      </c>
      <c r="G12" s="11" t="s">
        <v>38</v>
      </c>
      <c r="H12" s="3"/>
      <c r="I12" s="10"/>
      <c r="J12" s="10"/>
      <c r="K12" s="10"/>
      <c r="L12" s="10"/>
    </row>
    <row r="13" spans="1:12" ht="30" customHeight="1">
      <c r="A13" s="1" t="s">
        <v>24</v>
      </c>
      <c r="B13" s="9" t="s">
        <v>40</v>
      </c>
      <c r="C13" s="1">
        <v>1</v>
      </c>
      <c r="D13" s="14">
        <v>17.989999999999998</v>
      </c>
      <c r="E13" s="2">
        <f>C13*D13</f>
        <v>17.989999999999998</v>
      </c>
      <c r="F13" s="27" t="s">
        <v>41</v>
      </c>
      <c r="G13" s="11" t="s">
        <v>40</v>
      </c>
      <c r="H13" s="3"/>
      <c r="I13" s="10"/>
      <c r="J13" s="10"/>
      <c r="K13" s="10"/>
      <c r="L13" s="10"/>
    </row>
    <row r="14" spans="1:12" ht="30" customHeight="1">
      <c r="A14" s="1" t="s">
        <v>24</v>
      </c>
      <c r="B14" s="9" t="s">
        <v>42</v>
      </c>
      <c r="C14" s="1">
        <v>1</v>
      </c>
      <c r="D14" s="14">
        <v>7.59</v>
      </c>
      <c r="E14" s="2">
        <f>C14*D14</f>
        <v>7.59</v>
      </c>
      <c r="F14" s="27" t="s">
        <v>43</v>
      </c>
      <c r="G14" s="11" t="s">
        <v>42</v>
      </c>
      <c r="H14" s="3"/>
      <c r="I14" s="10"/>
      <c r="J14" s="10"/>
      <c r="K14" s="10"/>
      <c r="L14" s="10"/>
    </row>
    <row r="15" spans="1:12" ht="30" customHeight="1">
      <c r="A15" s="1" t="s">
        <v>24</v>
      </c>
      <c r="B15" s="9" t="s">
        <v>44</v>
      </c>
      <c r="C15" s="1">
        <v>1</v>
      </c>
      <c r="D15" s="14">
        <v>47.99</v>
      </c>
      <c r="E15" s="2">
        <f>C15*D15</f>
        <v>47.99</v>
      </c>
      <c r="F15" s="27" t="s">
        <v>45</v>
      </c>
      <c r="G15" s="11" t="s">
        <v>44</v>
      </c>
      <c r="H15" s="3"/>
      <c r="I15" s="10"/>
      <c r="J15" s="10"/>
      <c r="K15" s="10"/>
      <c r="L15" s="10"/>
    </row>
    <row r="16" spans="1:12" ht="30" customHeight="1">
      <c r="A16" s="1" t="s">
        <v>24</v>
      </c>
      <c r="B16" s="9" t="s">
        <v>46</v>
      </c>
      <c r="C16" s="1">
        <v>1</v>
      </c>
      <c r="D16" s="14">
        <v>89.99</v>
      </c>
      <c r="E16" s="2">
        <f>C16*D16</f>
        <v>89.99</v>
      </c>
      <c r="F16" s="27" t="s">
        <v>47</v>
      </c>
      <c r="G16" s="11" t="s">
        <v>46</v>
      </c>
      <c r="H16" s="3"/>
      <c r="I16" s="10"/>
      <c r="J16" s="10"/>
      <c r="K16" s="10"/>
      <c r="L16" s="10"/>
    </row>
    <row r="17" spans="1:12" ht="30" customHeight="1">
      <c r="A17" s="1" t="s">
        <v>24</v>
      </c>
      <c r="B17" s="9" t="s">
        <v>48</v>
      </c>
      <c r="C17" s="1">
        <v>1</v>
      </c>
      <c r="D17" s="14">
        <v>36.99</v>
      </c>
      <c r="E17" s="2">
        <f>C17*D17</f>
        <v>36.99</v>
      </c>
      <c r="F17" s="27" t="s">
        <v>49</v>
      </c>
      <c r="G17" s="11" t="s">
        <v>48</v>
      </c>
      <c r="H17" s="3"/>
      <c r="I17" s="10"/>
      <c r="J17" s="10"/>
      <c r="K17" s="10"/>
      <c r="L17" s="10"/>
    </row>
    <row r="18" spans="1:12" ht="30" customHeight="1">
      <c r="A18" s="1"/>
      <c r="B18" s="26"/>
      <c r="C18" s="1"/>
      <c r="D18" s="14"/>
      <c r="E18" s="2">
        <f>C18*D18</f>
        <v>0</v>
      </c>
      <c r="F18" s="3"/>
      <c r="G18" s="1"/>
      <c r="H18" s="3"/>
      <c r="I18" s="6"/>
      <c r="J18" s="6"/>
      <c r="K18" s="6"/>
      <c r="L18" s="6"/>
    </row>
    <row r="19" spans="1:12" ht="30" customHeight="1">
      <c r="A19" s="1"/>
      <c r="B19" s="9"/>
      <c r="C19" s="1"/>
      <c r="D19" s="14"/>
      <c r="E19" s="2">
        <f>C19*D19</f>
        <v>0</v>
      </c>
      <c r="F19" s="3"/>
      <c r="G19" s="1"/>
      <c r="H19" s="3"/>
      <c r="I19" s="6"/>
      <c r="J19" s="6"/>
      <c r="K19" s="6"/>
      <c r="L19" s="6"/>
    </row>
    <row r="20" spans="1:12" ht="30" customHeight="1">
      <c r="A20" s="1"/>
      <c r="B20" s="9"/>
      <c r="C20" s="1"/>
      <c r="D20" s="14"/>
      <c r="E20" s="2">
        <f>C20*D20</f>
        <v>0</v>
      </c>
      <c r="F20" s="3"/>
      <c r="G20" s="1"/>
      <c r="H20" s="3"/>
      <c r="I20" s="6"/>
      <c r="J20" s="6"/>
      <c r="K20" s="6"/>
      <c r="L20" s="6"/>
    </row>
    <row r="21" spans="1:12" ht="30" customHeight="1">
      <c r="A21" s="1"/>
      <c r="B21" s="9"/>
      <c r="C21" s="1"/>
      <c r="D21" s="14"/>
      <c r="E21" s="2">
        <f>C21*D21</f>
        <v>0</v>
      </c>
      <c r="F21" s="3"/>
      <c r="G21" s="1"/>
      <c r="H21" s="3"/>
      <c r="I21" s="6"/>
      <c r="J21" s="6"/>
      <c r="K21" s="6"/>
      <c r="L21" s="6"/>
    </row>
    <row r="22" spans="1:12" ht="30" customHeight="1">
      <c r="A22" s="1"/>
      <c r="B22" s="9"/>
      <c r="C22" s="1"/>
      <c r="D22" s="14"/>
      <c r="E22" s="2">
        <f>C22*D22</f>
        <v>0</v>
      </c>
      <c r="F22" s="3"/>
      <c r="G22" s="1"/>
      <c r="H22" s="3"/>
      <c r="I22" s="6"/>
      <c r="J22" s="6"/>
      <c r="K22" s="6"/>
      <c r="L22" s="6"/>
    </row>
    <row r="23" spans="1:12" ht="30" customHeight="1">
      <c r="A23" s="1"/>
      <c r="B23" s="9"/>
      <c r="C23" s="1"/>
      <c r="D23" s="14"/>
      <c r="E23" s="2">
        <f>C23*D23</f>
        <v>0</v>
      </c>
      <c r="F23" s="3"/>
      <c r="G23" s="1"/>
      <c r="H23" s="3"/>
      <c r="I23" s="6"/>
      <c r="J23" s="6"/>
      <c r="K23" s="6"/>
      <c r="L23" s="6"/>
    </row>
    <row r="24" spans="1:12" ht="30" customHeight="1">
      <c r="A24" s="1"/>
      <c r="B24" s="9"/>
      <c r="C24" s="1"/>
      <c r="D24" s="14"/>
      <c r="E24" s="2">
        <f>C24*D24</f>
        <v>0</v>
      </c>
      <c r="F24" s="3"/>
      <c r="G24" s="1"/>
      <c r="H24" s="3"/>
    </row>
    <row r="25" spans="1:12" ht="30" customHeight="1">
      <c r="B25" s="18" t="s">
        <v>50</v>
      </c>
      <c r="C25" s="7">
        <f>SUM(C2:C24)</f>
        <v>16</v>
      </c>
      <c r="D25" s="19">
        <f>SUM(D2:D24)</f>
        <v>357.27000000000004</v>
      </c>
      <c r="E25" s="22">
        <f>SUM(E2:E24)</f>
        <v>357.27000000000004</v>
      </c>
      <c r="F25" s="19"/>
      <c r="G25" s="20"/>
      <c r="H25" s="19"/>
    </row>
    <row r="26" spans="1:12" ht="3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ht="15.75"/>
    <row r="28" spans="1:12" ht="15.75"/>
    <row r="29" spans="1:12" ht="15.75"/>
    <row r="30" spans="1:12" ht="15.75"/>
    <row r="31" spans="1:12" ht="15.75"/>
    <row r="32" spans="1:12" ht="15.75"/>
  </sheetData>
  <autoFilter ref="A1:H1" xr:uid="{00000000-0001-0000-0000-000000000000}">
    <sortState xmlns:xlrd2="http://schemas.microsoft.com/office/spreadsheetml/2017/richdata2" ref="A2:H32">
      <sortCondition ref="A1"/>
    </sortState>
  </autoFilter>
  <sortState xmlns:xlrd2="http://schemas.microsoft.com/office/spreadsheetml/2017/richdata2" ref="A2:H24">
    <sortCondition ref="H2:H24"/>
  </sortState>
  <phoneticPr fontId="3" type="noConversion"/>
  <dataValidations count="1">
    <dataValidation type="list" allowBlank="1" showInputMessage="1" showErrorMessage="1" sqref="H2:H24" xr:uid="{B33DA806-DDBE-46C1-809E-7069E4A876DD}">
      <formula1>"BURST, ARISE"</formula1>
    </dataValidation>
  </dataValidations>
  <hyperlinks>
    <hyperlink ref="G2" r:id="rId1" xr:uid="{D29335EE-A2E6-4880-BEF9-CF6C8396B565}"/>
    <hyperlink ref="G3" r:id="rId2" xr:uid="{091F7B91-BB57-4D53-BEE6-23BF7558519C}"/>
    <hyperlink ref="G4" r:id="rId3" xr:uid="{0258507E-427F-4F86-81A1-2CF909F2650E}"/>
    <hyperlink ref="G8" r:id="rId4" xr:uid="{BDBE7812-267E-4604-8DAB-E99E26E9FF35}"/>
    <hyperlink ref="G5" r:id="rId5" xr:uid="{B36668F7-1015-46D5-90CD-FBA019975518}"/>
    <hyperlink ref="G6" r:id="rId6" xr:uid="{817766BF-29F0-4036-9F0E-35315B2CB01A}"/>
    <hyperlink ref="G9" r:id="rId7" xr:uid="{D60BF702-F559-40FC-A07D-E23DA26FA4ED}"/>
    <hyperlink ref="G7" r:id="rId8" xr:uid="{4E4C5245-2A3F-4A3B-97DA-73A21DD57E7D}"/>
    <hyperlink ref="G10:G17" r:id="rId9" xr:uid="{430A15B7-D12D-49F8-BDB9-E7C995810A22}"/>
    <hyperlink ref="G10" r:id="rId10" xr:uid="{A73BC657-1A67-4816-BA66-B1166186547F}"/>
    <hyperlink ref="G11" r:id="rId11" xr:uid="{783910E2-DA6C-40A2-80B2-E34249CC5B27}"/>
    <hyperlink ref="G12" r:id="rId12" xr:uid="{1E16FA11-56A4-47FC-8423-BF3A9C2C17DB}"/>
    <hyperlink ref="G13" r:id="rId13" xr:uid="{0CC4C354-C8DF-4B52-B554-A56F1B9CC625}"/>
    <hyperlink ref="G14" r:id="rId14" xr:uid="{8127D3CE-ECAD-4490-AAAF-0EC987E45382}"/>
    <hyperlink ref="G15" r:id="rId15" xr:uid="{9C166F47-C0E6-4308-AFA5-DCF26D8A6D16}"/>
    <hyperlink ref="G16" r:id="rId16" xr:uid="{FCD39E1D-C862-4258-ACD9-B51F492151B8}"/>
    <hyperlink ref="G17" r:id="rId17" xr:uid="{D872BDF9-3FFA-40BE-90B9-E8789DDF94B0}"/>
  </hyperlinks>
  <printOptions horizontalCentered="1" verticalCentered="1" gridLines="1"/>
  <pageMargins left="0.25" right="0.25" top="0.25" bottom="0.25" header="0.3" footer="0.3"/>
  <pageSetup scale="26" orientation="portrait" r:id="rId18"/>
  <legacyDrawing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f171c21-b9fb-4b13-8fc4-9f6de7170c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40C85BB7F35C43B1A7B15CBC15B3CE" ma:contentTypeVersion="4" ma:contentTypeDescription="Create a new document." ma:contentTypeScope="" ma:versionID="6fa3e6611558567427e36a6c3fb5b159">
  <xsd:schema xmlns:xsd="http://www.w3.org/2001/XMLSchema" xmlns:xs="http://www.w3.org/2001/XMLSchema" xmlns:p="http://schemas.microsoft.com/office/2006/metadata/properties" xmlns:ns2="bf171c21-b9fb-4b13-8fc4-9f6de7170c95" targetNamespace="http://schemas.microsoft.com/office/2006/metadata/properties" ma:root="true" ma:fieldsID="a7446a142cb344e16c9b60ba4f2bd962" ns2:_="">
    <xsd:import namespace="bf171c21-b9fb-4b13-8fc4-9f6de7170c9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71c21-b9fb-4b13-8fc4-9f6de7170c9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08083-1583-477F-BCF2-E2664E75AE50}"/>
</file>

<file path=customXml/itemProps2.xml><?xml version="1.0" encoding="utf-8"?>
<ds:datastoreItem xmlns:ds="http://schemas.openxmlformats.org/officeDocument/2006/customXml" ds:itemID="{389F6F0F-A835-4033-826D-893F60142098}"/>
</file>

<file path=customXml/itemProps3.xml><?xml version="1.0" encoding="utf-8"?>
<ds:datastoreItem xmlns:ds="http://schemas.openxmlformats.org/officeDocument/2006/customXml" ds:itemID="{5C24758F-6BB1-46B8-9A52-1426F35E9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El Centro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Clark, Tammy</dc:creator>
  <cp:keywords/>
  <dc:description/>
  <cp:lastModifiedBy>Momanyi, Cayden Trinh</cp:lastModifiedBy>
  <cp:revision/>
  <dcterms:created xsi:type="dcterms:W3CDTF">2015-08-05T17:57:34Z</dcterms:created>
  <dcterms:modified xsi:type="dcterms:W3CDTF">2025-10-10T22:33:15Z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0x010100FC40C85BB7F35C43B1A7B15CBC15B3CE</vt:lpwstr>
  </property>
  <property fmtid="{D5CDD505-2E9C-101B-9397-08002B2CF9AE}" pid="3" name="MediaServiceImageTags">
    <vt:lpwstr/>
  </property>
  <property fmtid="{D5CDD505-2E9C-101B-9397-08002B2CF9AE}" pid="4" name="Order">
    <vt:r8>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